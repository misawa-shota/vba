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0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sawashota/xvba/"/>
    </mc:Choice>
  </mc:AlternateContent>
  <xr:revisionPtr revIDLastSave="0" documentId="13_ncr:1_{8A7BC9EB-2C53-FE44-B3ED-B56BE9A22D56}" xr6:coauthVersionLast="47" xr6:coauthVersionMax="47" xr10:uidLastSave="{00000000-0000-0000-0000-000000000000}"/>
  <bookViews>
    <workbookView xWindow="17200" yWindow="500" windowWidth="18500" windowHeight="17980" xr2:uid="{E24E8195-6759-BA42-979E-9671441FEB78}"/>
  </bookViews>
  <sheets>
    <sheet name="グラフ" sheetId="2" r:id="rId1"/>
    <sheet name="写真" sheetId="7" r:id="rId2"/>
    <sheet name="計算用シート（始まり）" sheetId="5" r:id="rId3"/>
    <sheet name="Ps-8" sheetId="1" r:id="rId4"/>
    <sheet name="Ps-15" sheetId="3" r:id="rId5"/>
    <sheet name="Ps-20" sheetId="4" r:id="rId6"/>
    <sheet name="計算用シート（終わり）" sheetId="6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6" l="1"/>
  <c r="K7" i="2" s="1"/>
  <c r="M7" i="4"/>
  <c r="M7" i="3"/>
  <c r="M7" i="1"/>
  <c r="M7" i="5"/>
  <c r="L7" i="6"/>
  <c r="L7" i="4"/>
  <c r="L7" i="3"/>
  <c r="L7" i="1"/>
  <c r="L7" i="5"/>
  <c r="J7" i="2" s="1"/>
  <c r="K7" i="6"/>
  <c r="K7" i="4"/>
  <c r="K7" i="3"/>
  <c r="K7" i="1"/>
  <c r="K7" i="5"/>
  <c r="J7" i="6"/>
  <c r="J7" i="4"/>
  <c r="J7" i="3"/>
  <c r="J7" i="1"/>
  <c r="J7" i="5"/>
  <c r="I7" i="6"/>
  <c r="H7" i="6"/>
  <c r="G7" i="6"/>
  <c r="F7" i="6"/>
  <c r="E7" i="6"/>
  <c r="D7" i="6"/>
  <c r="I7" i="5"/>
  <c r="H7" i="5"/>
  <c r="G7" i="5"/>
  <c r="F7" i="5"/>
  <c r="E7" i="5"/>
  <c r="D7" i="5"/>
  <c r="I7" i="4"/>
  <c r="H7" i="4"/>
  <c r="G7" i="4"/>
  <c r="F7" i="4"/>
  <c r="E7" i="4"/>
  <c r="D7" i="4"/>
  <c r="I7" i="3"/>
  <c r="H7" i="3"/>
  <c r="G7" i="3"/>
  <c r="F7" i="3"/>
  <c r="E7" i="3"/>
  <c r="D7" i="3"/>
  <c r="I7" i="1"/>
  <c r="H7" i="1"/>
  <c r="G7" i="1"/>
  <c r="E7" i="1"/>
  <c r="F7" i="1"/>
  <c r="D7" i="1"/>
  <c r="I7" i="2" l="1"/>
  <c r="G7" i="2"/>
  <c r="F7" i="2"/>
  <c r="C7" i="2"/>
  <c r="D7" i="2"/>
  <c r="E7" i="2"/>
  <c r="H7" i="2"/>
  <c r="B7" i="2"/>
</calcChain>
</file>

<file path=xl/sharedStrings.xml><?xml version="1.0" encoding="utf-8"?>
<sst xmlns="http://schemas.openxmlformats.org/spreadsheetml/2006/main" count="113" uniqueCount="18">
  <si>
    <t>商品名：</t>
    <rPh sb="0" eb="3">
      <t>ショウヒn</t>
    </rPh>
    <phoneticPr fontId="1"/>
  </si>
  <si>
    <t>殺菌日</t>
    <rPh sb="0" eb="3">
      <t>サッキn</t>
    </rPh>
    <phoneticPr fontId="1"/>
  </si>
  <si>
    <t>スライス日</t>
    <rPh sb="4" eb="5">
      <t xml:space="preserve">ビ </t>
    </rPh>
    <phoneticPr fontId="1"/>
  </si>
  <si>
    <t>ケーシング</t>
    <phoneticPr fontId="1"/>
  </si>
  <si>
    <t>毛</t>
    <rPh sb="0" eb="1">
      <t xml:space="preserve">ケ </t>
    </rPh>
    <phoneticPr fontId="1"/>
  </si>
  <si>
    <t>虫</t>
    <rPh sb="0" eb="1">
      <t xml:space="preserve">ムシ </t>
    </rPh>
    <phoneticPr fontId="1"/>
  </si>
  <si>
    <t>x/x</t>
    <phoneticPr fontId="1"/>
  </si>
  <si>
    <t xml:space="preserve"> カゴ片</t>
  </si>
  <si>
    <t xml:space="preserve"> 別製品が混入（ウインナー） </t>
  </si>
  <si>
    <t xml:space="preserve"> 手袋片</t>
  </si>
  <si>
    <t xml:space="preserve"> ブラシ片</t>
  </si>
  <si>
    <t xml:space="preserve"> スポンジ片</t>
  </si>
  <si>
    <t>製造日</t>
    <rPh sb="0" eb="3">
      <t>セイゾウ</t>
    </rPh>
    <phoneticPr fontId="1"/>
  </si>
  <si>
    <t xml:space="preserve"> 金属片</t>
  </si>
  <si>
    <t xml:space="preserve"> 血合</t>
  </si>
  <si>
    <t>異物の種類と発生件数</t>
    <rPh sb="0" eb="2">
      <t>イブテゥ</t>
    </rPh>
    <rPh sb="6" eb="10">
      <t>ハッセイ</t>
    </rPh>
    <phoneticPr fontId="1"/>
  </si>
  <si>
    <t>異物の種類</t>
    <rPh sb="0" eb="2">
      <t>イブテゥ</t>
    </rPh>
    <rPh sb="3" eb="5">
      <t>sy</t>
    </rPh>
    <phoneticPr fontId="1"/>
  </si>
  <si>
    <t>発生件数</t>
    <rPh sb="0" eb="4">
      <t>ハッセイ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</si>
</sst>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グラフ!$B$6:$K$6</c:f>
              <c:strCache>
                <c:ptCount val="10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別製品が混入（ウインナー） 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</c:strCache>
            </c:strRef>
          </c:cat>
          <c:val>
            <c:numRef>
              <c:f>グラフ!$B$7:$K$7</c:f>
              <c:numCache>
                <c:formatCode>General</c:formatCode>
                <c:ptCount val="10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3-9947-87A0-231AADA04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53836559"/>
        <c:axId val="876645119"/>
      </c:barChart>
      <c:catAx>
        <c:axId val="753836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6645119"/>
        <c:crosses val="autoZero"/>
        <c:auto val="1"/>
        <c:lblAlgn val="ctr"/>
        <c:lblOffset val="100"/>
        <c:noMultiLvlLbl val="0"/>
      </c:catAx>
      <c:valAx>
        <c:axId val="87664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53836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グラフ!$B$6:$K$6</c:f>
              <c:strCache>
                <c:ptCount val="10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別製品が混入（ウインナー） 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</c:strCache>
            </c:strRef>
          </c:cat>
          <c:val>
            <c:numRef>
              <c:f>グラフ!$B$7:$K$7</c:f>
              <c:numCache>
                <c:formatCode>General</c:formatCode>
                <c:ptCount val="10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30-E54F-8816-0FD11C83C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48929263"/>
        <c:axId val="748254575"/>
      </c:barChart>
      <c:catAx>
        <c:axId val="1448929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8254575"/>
        <c:crosses val="autoZero"/>
        <c:auto val="1"/>
        <c:lblAlgn val="ctr"/>
        <c:lblOffset val="100"/>
        <c:noMultiLvlLbl val="0"/>
      </c:catAx>
      <c:valAx>
        <c:axId val="74825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48929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グラフ!$B$6:$K$6</c:f>
              <c:strCache>
                <c:ptCount val="10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別製品が混入（ウインナー） 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</c:strCache>
            </c:strRef>
          </c:cat>
          <c:val>
            <c:numRef>
              <c:f>グラフ!$B$7:$K$7</c:f>
              <c:numCache>
                <c:formatCode>General</c:formatCode>
                <c:ptCount val="10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4-2F4B-AD4B-4576489E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76821263"/>
        <c:axId val="876764223"/>
      </c:barChart>
      <c:catAx>
        <c:axId val="876821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6764223"/>
        <c:crosses val="autoZero"/>
        <c:auto val="1"/>
        <c:lblAlgn val="ctr"/>
        <c:lblOffset val="100"/>
        <c:noMultiLvlLbl val="0"/>
      </c:catAx>
      <c:valAx>
        <c:axId val="87676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27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27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76821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グラフ!$B$6:$K$6</c:f>
              <c:strCache>
                <c:ptCount val="10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別製品が混入（ウインナー） 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</c:strCache>
            </c:strRef>
          </c:cat>
          <c:val>
            <c:numRef>
              <c:f>グラフ!$B$7:$K$7</c:f>
              <c:numCache>
                <c:formatCode>General</c:formatCode>
                <c:ptCount val="10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8-864D-AF24-CE583DF81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8184255"/>
        <c:axId val="826574799"/>
      </c:barChart>
      <c:catAx>
        <c:axId val="74818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6574799"/>
        <c:crosses val="autoZero"/>
        <c:auto val="1"/>
        <c:lblAlgn val="ctr"/>
        <c:lblOffset val="100"/>
        <c:noMultiLvlLbl val="0"/>
      </c:catAx>
      <c:valAx>
        <c:axId val="826574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8184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グラフ!$B$6:$K$6</c:f>
              <c:strCache>
                <c:ptCount val="10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別製品が混入（ウインナー） 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</c:strCache>
            </c:strRef>
          </c:cat>
          <c:val>
            <c:numRef>
              <c:f>グラフ!$B$7:$K$7</c:f>
              <c:numCache>
                <c:formatCode>General</c:formatCode>
                <c:ptCount val="10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9-DF46-A365-C542AEFB9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26516303"/>
        <c:axId val="826311167"/>
      </c:barChart>
      <c:catAx>
        <c:axId val="8265163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6311167"/>
        <c:crosses val="autoZero"/>
        <c:auto val="1"/>
        <c:lblAlgn val="ctr"/>
        <c:lblOffset val="100"/>
        <c:noMultiLvlLbl val="0"/>
      </c:catAx>
      <c:valAx>
        <c:axId val="82631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6516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異物の種類と発生件数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グラフ!$B$6:$K$6</c:f>
              <c:strCache>
                <c:ptCount val="10"/>
                <c:pt idx="0">
                  <c:v>ケーシング</c:v>
                </c:pt>
                <c:pt idx="1">
                  <c:v>毛</c:v>
                </c:pt>
                <c:pt idx="2">
                  <c:v>虫</c:v>
                </c:pt>
                <c:pt idx="3">
                  <c:v> カゴ片</c:v>
                </c:pt>
                <c:pt idx="4">
                  <c:v> 別製品が混入（ウインナー） </c:v>
                </c:pt>
                <c:pt idx="5">
                  <c:v> 手袋片</c:v>
                </c:pt>
                <c:pt idx="6">
                  <c:v> スポンジ片</c:v>
                </c:pt>
                <c:pt idx="7">
                  <c:v> ブラシ片</c:v>
                </c:pt>
                <c:pt idx="8">
                  <c:v> 金属片</c:v>
                </c:pt>
                <c:pt idx="9">
                  <c:v> 血合</c:v>
                </c:pt>
              </c:strCache>
            </c:strRef>
          </c:cat>
          <c:val>
            <c:numRef>
              <c:f>グラフ!$B$7:$K$7</c:f>
              <c:numCache>
                <c:formatCode>General</c:formatCode>
                <c:ptCount val="10"/>
                <c:pt idx="0">
                  <c:v>15</c:v>
                </c:pt>
                <c:pt idx="1">
                  <c:v>10</c:v>
                </c:pt>
                <c:pt idx="2">
                  <c:v>0</c:v>
                </c:pt>
                <c:pt idx="3">
                  <c:v>15</c:v>
                </c:pt>
                <c:pt idx="4">
                  <c:v>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3-CC47-A114-E8021918E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32196991"/>
        <c:axId val="732375039"/>
      </c:barChart>
      <c:catAx>
        <c:axId val="73219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2375039"/>
        <c:crosses val="autoZero"/>
        <c:auto val="1"/>
        <c:lblAlgn val="ctr"/>
        <c:lblOffset val="100"/>
        <c:noMultiLvlLbl val="0"/>
      </c:catAx>
      <c:valAx>
        <c:axId val="732375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Rtl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発生件数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2196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9</xdr:row>
      <xdr:rowOff>196850</xdr:rowOff>
    </xdr:from>
    <xdr:to>
      <xdr:col>8</xdr:col>
      <xdr:colOff>812800</xdr:colOff>
      <xdr:row>20</xdr:row>
      <xdr:rowOff>146050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093B9F15-D163-DDFD-28EE-260FFB9C5B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469900</xdr:colOff>
      <xdr:row>9</xdr:row>
      <xdr:rowOff>196850</xdr:rowOff>
    </xdr:from>
    <xdr:to>
      <xdr:col>8</xdr:col>
      <xdr:colOff>812800</xdr:colOff>
      <xdr:row>20</xdr:row>
      <xdr:rowOff>146050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F495B750-A1E3-BE95-4088-A295875B6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469900</xdr:colOff>
      <xdr:row>9</xdr:row>
      <xdr:rowOff>196850</xdr:rowOff>
    </xdr:from>
    <xdr:to>
      <xdr:col>8</xdr:col>
      <xdr:colOff>812800</xdr:colOff>
      <xdr:row>20</xdr:row>
      <xdr:rowOff>146050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55BA907D-D21A-0096-5B6E-5837AA2F58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469900</xdr:colOff>
      <xdr:row>9</xdr:row>
      <xdr:rowOff>196850</xdr:rowOff>
    </xdr:from>
    <xdr:to>
      <xdr:col>8</xdr:col>
      <xdr:colOff>812800</xdr:colOff>
      <xdr:row>20</xdr:row>
      <xdr:rowOff>146050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CBEA0A3B-3B67-6E1E-754E-F024D96472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469900</xdr:colOff>
      <xdr:row>9</xdr:row>
      <xdr:rowOff>196850</xdr:rowOff>
    </xdr:from>
    <xdr:to>
      <xdr:col>8</xdr:col>
      <xdr:colOff>812800</xdr:colOff>
      <xdr:row>20</xdr:row>
      <xdr:rowOff>146050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941B1FD4-5762-A025-B806-941EB2E34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469900</xdr:colOff>
      <xdr:row>9</xdr:row>
      <xdr:rowOff>196850</xdr:rowOff>
    </xdr:from>
    <xdr:to>
      <xdr:col>8</xdr:col>
      <xdr:colOff>812800</xdr:colOff>
      <xdr:row>20</xdr:row>
      <xdr:rowOff>146050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53FEE447-417C-B093-89D4-81ECBB106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D572-C38C-AF4C-BC2D-8590EFC1456D}">
  <sheetPr codeName="Sheet2"/>
  <dimension ref="A5:K7"/>
  <sheetViews>
    <sheetView tabSelected="1" topLeftCell="C1" workbookViewId="0">
      <selection activeCell="B6" sqref="B6:K7"/>
    </sheetView>
  </sheetViews>
  <sheetFormatPr baseColWidth="10" defaultRowHeight="20"/>
  <cols>
    <col min="6" max="6" width="26.140625" bestFit="1" customWidth="1"/>
  </cols>
  <sheetData>
    <row r="5" spans="1:11">
      <c r="B5" s="25" t="s">
        <v>15</v>
      </c>
      <c r="C5" s="25"/>
      <c r="D5" s="25"/>
      <c r="E5" s="25"/>
      <c r="F5" s="25"/>
      <c r="G5" s="25"/>
      <c r="H5" s="25"/>
      <c r="I5" s="25"/>
    </row>
    <row r="6" spans="1:11" ht="21" thickBot="1">
      <c r="A6" s="26" t="s">
        <v>16</v>
      </c>
      <c r="B6" s="20" t="s">
        <v>3</v>
      </c>
      <c r="C6" s="20" t="s">
        <v>4</v>
      </c>
      <c r="D6" s="20" t="s">
        <v>5</v>
      </c>
      <c r="E6" s="20" t="s">
        <v>7</v>
      </c>
      <c r="F6" s="20" t="s">
        <v>8</v>
      </c>
      <c r="G6" s="20" t="s">
        <v>9</v>
      </c>
      <c r="H6" s="20" t="s">
        <v>11</v>
      </c>
      <c r="I6" s="20" t="s">
        <v>10</v>
      </c>
      <c r="J6" s="20" t="s">
        <v>13</v>
      </c>
      <c r="K6" s="20" t="s">
        <v>14</v>
      </c>
    </row>
    <row r="7" spans="1:11" ht="21" thickTop="1">
      <c r="A7" s="26" t="s">
        <v>17</v>
      </c>
      <c r="B7" s="6">
        <f>SUM('計算用シート（始まり）:計算用シート（終わり）'!D7)</f>
        <v>15</v>
      </c>
      <c r="C7" s="6">
        <f>SUM('計算用シート（始まり）:計算用シート（終わり）'!E7)</f>
        <v>10</v>
      </c>
      <c r="D7" s="6">
        <f>SUM('計算用シート（始まり）:計算用シート（終わり）'!F7)</f>
        <v>0</v>
      </c>
      <c r="E7" s="6">
        <f>SUM('計算用シート（始まり）:計算用シート（終わり）'!G7)</f>
        <v>15</v>
      </c>
      <c r="F7" s="6">
        <f>SUM('計算用シート（始まり）:計算用シート（終わり）'!H7)</f>
        <v>20</v>
      </c>
      <c r="G7" s="6">
        <f>SUM('計算用シート（始まり）:計算用シート（終わり）'!I7)</f>
        <v>0</v>
      </c>
      <c r="H7" s="6">
        <f>SUM('計算用シート（始まり）:計算用シート（終わり）'!J7)</f>
        <v>0</v>
      </c>
      <c r="I7" s="6">
        <f>SUM('計算用シート（始まり）:計算用シート（終わり）'!K7)</f>
        <v>0</v>
      </c>
      <c r="J7" s="6">
        <f>SUM('計算用シート（始まり）:計算用シート（終わり）'!L7)</f>
        <v>0</v>
      </c>
      <c r="K7" s="6">
        <f>SUM('計算用シート（始まり）:計算用シート（終わり）'!M7)</f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9D452-4CB9-8141-A2FA-CF61C32DDC2D}">
  <sheetPr codeName="Sheet7"/>
  <dimension ref="A1"/>
  <sheetViews>
    <sheetView workbookViewId="0">
      <selection activeCell="C16" sqref="C16"/>
    </sheetView>
  </sheetViews>
  <sheetFormatPr baseColWidth="10" defaultRowHeight="20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97AF3-AD95-F64A-B8C8-CB83EC50AAD4}">
  <sheetPr codeName="Sheet5"/>
  <dimension ref="A2:M35"/>
  <sheetViews>
    <sheetView workbookViewId="0">
      <selection activeCell="E13" sqref="E13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DBBB5-70F7-F842-ADD8-9BA197D39BBD}">
  <sheetPr codeName="Sheet1"/>
  <dimension ref="A2:M35"/>
  <sheetViews>
    <sheetView workbookViewId="0">
      <selection activeCell="E11" sqref="E11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C6:C7"/>
    <mergeCell ref="B6:B7"/>
    <mergeCell ref="A6:A7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F66DE-AA3C-7A44-9B58-8FD9BBD5866D}">
  <sheetPr codeName="Sheet3"/>
  <dimension ref="A2:M35"/>
  <sheetViews>
    <sheetView topLeftCell="D1" workbookViewId="0">
      <selection activeCell="H20" sqref="H20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BC991-8938-6A4C-A209-0D464EDEA05F}">
  <sheetPr codeName="Sheet4"/>
  <dimension ref="A2:M35"/>
  <sheetViews>
    <sheetView workbookViewId="0">
      <selection activeCell="G11" sqref="G11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DC1C7-399B-6E40-A0A1-015B503EB958}">
  <sheetPr codeName="Sheet6"/>
  <dimension ref="A2:M35"/>
  <sheetViews>
    <sheetView workbookViewId="0">
      <selection activeCell="H25" sqref="H25"/>
    </sheetView>
  </sheetViews>
  <sheetFormatPr baseColWidth="10" defaultRowHeight="20"/>
  <cols>
    <col min="8" max="8" width="26.140625" bestFit="1" customWidth="1"/>
  </cols>
  <sheetData>
    <row r="2" spans="1:13">
      <c r="A2" t="s">
        <v>0</v>
      </c>
      <c r="B2" s="1"/>
    </row>
    <row r="5" spans="1:13" ht="21" thickBot="1"/>
    <row r="6" spans="1:13">
      <c r="A6" s="21" t="s">
        <v>12</v>
      </c>
      <c r="B6" s="23" t="s">
        <v>1</v>
      </c>
      <c r="C6" s="23" t="s">
        <v>2</v>
      </c>
      <c r="D6" s="2" t="s">
        <v>3</v>
      </c>
      <c r="E6" s="2" t="s">
        <v>4</v>
      </c>
      <c r="F6" s="3" t="s">
        <v>5</v>
      </c>
      <c r="G6" s="3" t="s">
        <v>7</v>
      </c>
      <c r="H6" s="3" t="s">
        <v>8</v>
      </c>
      <c r="I6" s="3" t="s">
        <v>9</v>
      </c>
      <c r="J6" s="3" t="s">
        <v>11</v>
      </c>
      <c r="K6" s="3" t="s">
        <v>10</v>
      </c>
      <c r="L6" s="3" t="s">
        <v>13</v>
      </c>
      <c r="M6" s="4" t="s">
        <v>14</v>
      </c>
    </row>
    <row r="7" spans="1:13" ht="21" thickBot="1">
      <c r="A7" s="22"/>
      <c r="B7" s="24"/>
      <c r="C7" s="24"/>
      <c r="D7" s="17">
        <f>SUM(D8:D35)</f>
        <v>3</v>
      </c>
      <c r="E7" s="17">
        <f t="shared" ref="E7" si="0">SUM(E8:E35)</f>
        <v>2</v>
      </c>
      <c r="F7" s="18">
        <f>SUM(F8:F35)</f>
        <v>0</v>
      </c>
      <c r="G7" s="18">
        <f>SUM(G8:G35)</f>
        <v>3</v>
      </c>
      <c r="H7" s="18">
        <f>SUM(H8:H35)</f>
        <v>4</v>
      </c>
      <c r="I7" s="18">
        <f>SUM(I8:I35)</f>
        <v>0</v>
      </c>
      <c r="J7" s="18">
        <f>SUM(J8:J35)</f>
        <v>0</v>
      </c>
      <c r="K7" s="18">
        <f>SUM(K8:K35)</f>
        <v>0</v>
      </c>
      <c r="L7" s="18">
        <f>SUM(L8:L35)</f>
        <v>0</v>
      </c>
      <c r="M7" s="19">
        <f>SUM(M8:M35)</f>
        <v>0</v>
      </c>
    </row>
    <row r="8" spans="1:13" ht="21" thickTop="1">
      <c r="A8" s="5" t="s">
        <v>6</v>
      </c>
      <c r="B8" s="6" t="s">
        <v>6</v>
      </c>
      <c r="C8" s="6" t="s">
        <v>6</v>
      </c>
      <c r="D8" s="6">
        <v>3</v>
      </c>
      <c r="E8" s="6"/>
      <c r="F8" s="7"/>
      <c r="G8" s="7"/>
      <c r="H8" s="7"/>
      <c r="I8" s="7"/>
      <c r="J8" s="7"/>
      <c r="K8" s="7"/>
      <c r="L8" s="7"/>
      <c r="M8" s="8"/>
    </row>
    <row r="9" spans="1:13">
      <c r="A9" s="9" t="s">
        <v>6</v>
      </c>
      <c r="B9" s="10" t="s">
        <v>6</v>
      </c>
      <c r="C9" s="10" t="s">
        <v>6</v>
      </c>
      <c r="D9" s="10"/>
      <c r="E9" s="10">
        <v>2</v>
      </c>
      <c r="F9" s="11"/>
      <c r="G9" s="11"/>
      <c r="H9" s="11"/>
      <c r="I9" s="11"/>
      <c r="J9" s="11"/>
      <c r="K9" s="11"/>
      <c r="L9" s="11"/>
      <c r="M9" s="12"/>
    </row>
    <row r="10" spans="1:13">
      <c r="A10" s="9"/>
      <c r="B10" s="10"/>
      <c r="C10" s="10"/>
      <c r="D10" s="10"/>
      <c r="E10" s="10"/>
      <c r="F10" s="11"/>
      <c r="G10" s="11">
        <v>3</v>
      </c>
      <c r="H10" s="11">
        <v>4</v>
      </c>
      <c r="I10" s="11"/>
      <c r="J10" s="11"/>
      <c r="K10" s="11"/>
      <c r="L10" s="11"/>
      <c r="M10" s="12"/>
    </row>
    <row r="11" spans="1:13">
      <c r="A11" s="9"/>
      <c r="B11" s="10"/>
      <c r="C11" s="10"/>
      <c r="D11" s="10"/>
      <c r="E11" s="10"/>
      <c r="F11" s="11"/>
      <c r="G11" s="11"/>
      <c r="H11" s="11"/>
      <c r="I11" s="11"/>
      <c r="J11" s="11"/>
      <c r="K11" s="11"/>
      <c r="L11" s="11"/>
      <c r="M11" s="12"/>
    </row>
    <row r="12" spans="1:13">
      <c r="A12" s="9"/>
      <c r="B12" s="10"/>
      <c r="C12" s="10"/>
      <c r="D12" s="10"/>
      <c r="E12" s="10"/>
      <c r="F12" s="11"/>
      <c r="G12" s="11"/>
      <c r="H12" s="11"/>
      <c r="I12" s="11"/>
      <c r="J12" s="11"/>
      <c r="K12" s="11"/>
      <c r="L12" s="11"/>
      <c r="M12" s="12"/>
    </row>
    <row r="13" spans="1:13">
      <c r="A13" s="9"/>
      <c r="B13" s="10"/>
      <c r="C13" s="10"/>
      <c r="D13" s="10"/>
      <c r="E13" s="10"/>
      <c r="F13" s="11"/>
      <c r="G13" s="11"/>
      <c r="H13" s="11"/>
      <c r="I13" s="11"/>
      <c r="J13" s="11"/>
      <c r="K13" s="11"/>
      <c r="L13" s="11"/>
      <c r="M13" s="12"/>
    </row>
    <row r="14" spans="1:13">
      <c r="A14" s="9"/>
      <c r="B14" s="10"/>
      <c r="C14" s="10"/>
      <c r="D14" s="10"/>
      <c r="E14" s="10"/>
      <c r="F14" s="11"/>
      <c r="G14" s="11"/>
      <c r="H14" s="11"/>
      <c r="I14" s="11"/>
      <c r="J14" s="11"/>
      <c r="K14" s="11"/>
      <c r="L14" s="11"/>
      <c r="M14" s="12"/>
    </row>
    <row r="15" spans="1:13">
      <c r="A15" s="9"/>
      <c r="B15" s="10"/>
      <c r="C15" s="10"/>
      <c r="D15" s="10"/>
      <c r="E15" s="10"/>
      <c r="F15" s="11"/>
      <c r="G15" s="11"/>
      <c r="H15" s="11"/>
      <c r="I15" s="11"/>
      <c r="J15" s="11"/>
      <c r="K15" s="11"/>
      <c r="L15" s="11"/>
      <c r="M15" s="12"/>
    </row>
    <row r="16" spans="1:13">
      <c r="A16" s="9"/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2"/>
    </row>
    <row r="17" spans="1:13">
      <c r="A17" s="9"/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2"/>
    </row>
    <row r="18" spans="1:13">
      <c r="A18" s="9"/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2"/>
    </row>
    <row r="19" spans="1:13">
      <c r="A19" s="9"/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2"/>
    </row>
    <row r="20" spans="1:13">
      <c r="A20" s="9"/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2"/>
    </row>
    <row r="21" spans="1:13">
      <c r="A21" s="9"/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2"/>
    </row>
    <row r="22" spans="1:13">
      <c r="A22" s="9"/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2"/>
    </row>
    <row r="23" spans="1:13">
      <c r="A23" s="9"/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2"/>
    </row>
    <row r="24" spans="1:13">
      <c r="A24" s="9"/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2"/>
    </row>
    <row r="25" spans="1:13">
      <c r="A25" s="9"/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2"/>
    </row>
    <row r="26" spans="1:13">
      <c r="A26" s="9"/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2"/>
    </row>
    <row r="27" spans="1:13">
      <c r="A27" s="9"/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2"/>
    </row>
    <row r="28" spans="1:13">
      <c r="A28" s="9"/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2"/>
    </row>
    <row r="29" spans="1:13">
      <c r="A29" s="9"/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2"/>
    </row>
    <row r="30" spans="1:13">
      <c r="A30" s="9"/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2"/>
    </row>
    <row r="31" spans="1:13">
      <c r="A31" s="9"/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2"/>
    </row>
    <row r="32" spans="1:13">
      <c r="A32" s="9"/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2"/>
    </row>
    <row r="33" spans="1:13">
      <c r="A33" s="9"/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2"/>
    </row>
    <row r="34" spans="1:13">
      <c r="A34" s="9"/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2"/>
    </row>
    <row r="35" spans="1:13" ht="21" thickBot="1">
      <c r="A35" s="13"/>
      <c r="B35" s="14"/>
      <c r="C35" s="14"/>
      <c r="D35" s="14"/>
      <c r="E35" s="14"/>
      <c r="F35" s="15"/>
      <c r="G35" s="15"/>
      <c r="H35" s="15"/>
      <c r="I35" s="15"/>
      <c r="J35" s="15"/>
      <c r="K35" s="15"/>
      <c r="L35" s="15"/>
      <c r="M35" s="16"/>
    </row>
  </sheetData>
  <mergeCells count="3">
    <mergeCell ref="A6:A7"/>
    <mergeCell ref="B6:B7"/>
    <mergeCell ref="C6:C7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グラフ</vt:lpstr>
      <vt:lpstr>写真</vt:lpstr>
      <vt:lpstr>計算用シート（始まり）</vt:lpstr>
      <vt:lpstr>Ps-8</vt:lpstr>
      <vt:lpstr>Ps-15</vt:lpstr>
      <vt:lpstr>Ps-20</vt:lpstr>
      <vt:lpstr>計算用シート（終わり）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翔太 三澤</dc:creator>
  <cp:lastModifiedBy>翔太 三澤</cp:lastModifiedBy>
  <dcterms:created xsi:type="dcterms:W3CDTF">2025-07-11T12:50:20Z</dcterms:created>
  <dcterms:modified xsi:type="dcterms:W3CDTF">2025-08-05T15:24:49Z</dcterms:modified>
</cp:coreProperties>
</file>